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cuments\Customer-Data-Quality-Analysis\"/>
    </mc:Choice>
  </mc:AlternateContent>
  <xr:revisionPtr revIDLastSave="0" documentId="13_ncr:1_{9E876A87-F789-4573-B007-45944F6EF7FA}" xr6:coauthVersionLast="47" xr6:coauthVersionMax="47" xr10:uidLastSave="{00000000-0000-0000-0000-000000000000}"/>
  <bookViews>
    <workbookView xWindow="-108" yWindow="-108" windowWidth="23256" windowHeight="12456" activeTab="2" xr2:uid="{B86CB8F6-DE7A-4805-BE74-F3F39475880E}"/>
  </bookViews>
  <sheets>
    <sheet name="Customer Record" sheetId="1" r:id="rId1"/>
    <sheet name="Dashboard" sheetId="2" r:id="rId2"/>
    <sheet name="Formula Practice" sheetId="3" r:id="rId3"/>
  </sheets>
  <definedNames>
    <definedName name="_xlnm._FilterDatabase" localSheetId="0" hidden="1">'Customer Record'!#REF!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3" l="1"/>
  <c r="B2" i="2"/>
  <c r="B23" i="3"/>
  <c r="B20" i="3"/>
  <c r="B17" i="3"/>
  <c r="B16" i="3"/>
  <c r="B10" i="3"/>
  <c r="B7" i="3"/>
  <c r="B6" i="3"/>
  <c r="B10" i="2"/>
  <c r="B4" i="2"/>
  <c r="B9" i="2"/>
  <c r="B3" i="2"/>
  <c r="B8" i="2"/>
  <c r="F5" i="1"/>
  <c r="F2" i="1"/>
  <c r="F3" i="1"/>
  <c r="F4" i="1"/>
  <c r="F6" i="1"/>
  <c r="F7" i="1"/>
  <c r="F8" i="1"/>
  <c r="F9" i="1"/>
  <c r="F10" i="1"/>
  <c r="F11" i="1"/>
</calcChain>
</file>

<file path=xl/sharedStrings.xml><?xml version="1.0" encoding="utf-8"?>
<sst xmlns="http://schemas.openxmlformats.org/spreadsheetml/2006/main" count="77" uniqueCount="51">
  <si>
    <t>Customer Name</t>
  </si>
  <si>
    <t>Phone Number</t>
  </si>
  <si>
    <t>Location</t>
  </si>
  <si>
    <t>Status</t>
  </si>
  <si>
    <t>ABC Traders</t>
  </si>
  <si>
    <t>Kochi</t>
  </si>
  <si>
    <t>Active</t>
  </si>
  <si>
    <t>XYZ Store</t>
  </si>
  <si>
    <t>Kozhikode</t>
  </si>
  <si>
    <t>Pending</t>
  </si>
  <si>
    <t>Green Mart</t>
  </si>
  <si>
    <t>Thrissur</t>
  </si>
  <si>
    <t>Inactive</t>
  </si>
  <si>
    <t>Customer_ID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</si>
  <si>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</si>
  <si>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</si>
  <si>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</si>
  <si>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</si>
  <si>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</si>
  <si>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</si>
  <si>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</si>
  <si>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</si>
  <si>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</si>
  <si>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</si>
  <si>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Sunrise Retail</t>
  </si>
  <si>
    <t>Metro Supplies</t>
  </si>
  <si>
    <t>Fresh Basket</t>
  </si>
  <si>
    <t>City Mart</t>
  </si>
  <si>
    <t>Royal Store</t>
  </si>
  <si>
    <t>Prime Traders</t>
  </si>
  <si>
    <t>Kannur</t>
  </si>
  <si>
    <t>Palakkad</t>
  </si>
  <si>
    <t>Malappuram</t>
  </si>
  <si>
    <t>Total Customer Records</t>
  </si>
  <si>
    <t>Missing Phone Numbers</t>
  </si>
  <si>
    <t>Pending Customers</t>
  </si>
  <si>
    <t>Customer Status</t>
  </si>
  <si>
    <t>Count</t>
  </si>
  <si>
    <t>Customer_Name</t>
  </si>
  <si>
    <t>Sales_Amount</t>
  </si>
  <si>
    <t>XYZ Stores</t>
  </si>
  <si>
    <t>Total Sales</t>
  </si>
  <si>
    <t>Sales in Kochi</t>
  </si>
  <si>
    <t>Average Sales</t>
  </si>
  <si>
    <t>Record Check</t>
  </si>
  <si>
    <t>Lowest Sales</t>
  </si>
  <si>
    <t xml:space="preserve"> Highest Sales</t>
  </si>
  <si>
    <t>Customer ID</t>
  </si>
  <si>
    <t>CUSTOMER DATA QUALITY DASHBOARD</t>
  </si>
  <si>
    <t>Kochi Customer Count</t>
  </si>
  <si>
    <t>Excel Formula Practice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</si>
</sst>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2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83C3A"/>
        <bgColor indexed="64"/>
      </patternFill>
    </fill>
    <fill>
      <patternFill patternType="solid">
        <fgColor rgb="FF247E77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1" xfId="0" applyBorder="1" applyAlignment="1">
      <alignment horizontal="left" vertical="center"/>
    </xf>
    <xf numFmtId="0" fontId="3" fillId="3" borderId="0" xfId="0" applyFont="1" applyFill="1"/>
    <xf numFmtId="0" fontId="2" fillId="2" borderId="0" xfId="0" applyFont="1" applyFill="1" applyAlignment="1">
      <alignment horizontal="right"/>
    </xf>
    <xf numFmtId="0" fontId="0" fillId="0" borderId="0" xfId="0" applyFont="1"/>
    <xf numFmtId="2" fontId="0" fillId="0" borderId="0" xfId="0" applyNumberFormat="1"/>
    <xf numFmtId="0" fontId="4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1" fillId="4" borderId="0" xfId="0" applyFont="1" applyFill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colors>
    <mruColors>
      <color rgb="FF34B6AD"/>
      <color rgb="FFFFFFFF"/>
      <color rgb="FF247E77"/>
      <color rgb="FF183C3A"/>
      <color rgb="FF00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Status Overview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7348319011990727E-2"/>
          <c:y val="0.14498578302712159"/>
          <c:w val="0.92265168098800932"/>
          <c:h val="0.717172945293602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Dashboard!$B$7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247E77"/>
            </a:solidFill>
            <a:ln>
              <a:noFill/>
            </a:ln>
            <a:effectLst/>
          </c:spPr>
          <c:invertIfNegative val="0"/>
          <c:cat>
            <c:strRef>
              <c:f>Dashboard!$A$8:$A$10</c:f>
              <c:strCache>
                <c:ptCount val="3"/>
                <c:pt idx="0">
                  <c:v>Active</c:v>
                </c:pt>
                <c:pt idx="1">
                  <c:v>Pending</c:v>
                </c:pt>
                <c:pt idx="2">
                  <c:v>Inactive</c:v>
                </c:pt>
              </c:strCache>
            </c:strRef>
          </c:cat>
          <c:val>
            <c:numRef>
              <c:f>Dashboard!$B$8:$B$10</c:f>
              <c:numCache>
                <c:formatCode>General</c:formatCode>
                <c:ptCount val="3"/>
                <c:pt idx="0">
                  <c:v>5</c:v>
                </c:pt>
                <c:pt idx="1">
                  <c:v>4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41-44D8-952F-EAEBE1FEB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5273984"/>
        <c:axId val="2032253808"/>
      </c:barChart>
      <c:catAx>
        <c:axId val="203527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253808"/>
        <c:crosses val="autoZero"/>
        <c:auto val="1"/>
        <c:lblAlgn val="ctr"/>
        <c:lblOffset val="100"/>
        <c:noMultiLvlLbl val="0"/>
      </c:catAx>
      <c:valAx>
        <c:axId val="203225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527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2</xdr:row>
      <xdr:rowOff>0</xdr:rowOff>
    </xdr:from>
    <xdr:to>
      <xdr:col>9</xdr:col>
      <xdr:colOff>7620</xdr:colOff>
      <xdr:row>19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665FDF-F524-43D5-8EDA-658A5F660F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431AE3-C094-47F1-9161-91DC4E732D6A}" name="Table1" displayName="Table1" ref="A1:F11" totalsRowShown="0" headerRowDxfId="9">
  <autoFilter ref="A1:F11" xr:uid="{F7431AE3-C094-47F1-9161-91DC4E732D6A}"/>
  <tableColumns count="6">
    <tableColumn id="1" xr3:uid="{7FA5FCFA-ACEF-4EA3-87E2-188A7CFA95A8}" name="Customer_ID"/>
    <tableColumn id="2" xr3:uid="{3DA2BA1E-0523-48DA-B130-BF28C05EC9F4}" name="Customer Name"/>
    <tableColumn id="3" xr3:uid="{4DE1E55C-9036-4823-9137-3D13151CE8A9}" name="Phone Number"/>
    <tableColumn id="4" xr3:uid="{7544266E-62CF-4696-87FE-4DFEBFABCB83}" name="Location"/>
    <tableColumn id="5" xr3:uid="{BA8D64D2-90C9-4C6E-8496-7331352F0CD9}" name="Status"/>
    <tableColumn id="6" xr3:uid="{A887208F-221E-41AE-82ED-B7EFFA227002}" name="Record Check" dataDxfId="8">
      <calculatedColumnFormula>IF(C2="","Incomplete","Complete")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33EE4-0E24-4BF0-8687-B17CA945FA72}">
  <dimension ref="A1:F11"/>
  <sheetViews>
    <sheetView zoomScale="90" zoomScaleNormal="90" workbookViewId="0">
      <selection activeCell="I21" sqref="I21"/>
    </sheetView>
  </sheetViews>
  <sheetFormatPr defaultRowHeight="14.4" x14ac:dyDescent="0.3"/>
  <cols>
    <col min="1" max="1" width="16.77734375" customWidth="1"/>
    <col min="2" max="2" width="16.33203125" customWidth="1"/>
    <col min="3" max="3" width="15.109375" customWidth="1"/>
    <col min="4" max="4" width="10.6640625" customWidth="1"/>
    <col min="6" max="6" width="13.33203125" customWidth="1"/>
    <col min="7" max="7" width="20" customWidth="1"/>
    <col min="10" max="10" width="14.44140625" customWidth="1"/>
    <col min="13" max="13" width="16.21875" customWidth="1"/>
    <col min="14" max="14" width="12" customWidth="1"/>
  </cols>
  <sheetData>
    <row r="1" spans="1:6" ht="18" customHeight="1" x14ac:dyDescent="0.3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44</v>
      </c>
    </row>
    <row r="2" spans="1:6" x14ac:dyDescent="0.3">
      <c r="A2" t="s">
        <v>14</v>
      </c>
      <c r="B2" t="s">
        <v>4</v>
      </c>
      <c r="C2">
        <v>9876543210</v>
      </c>
      <c r="D2" t="s">
        <v>5</v>
      </c>
      <c r="E2" t="s">
        <v>6</v>
      </c>
      <c r="F2" t="str">
        <f>IF(C2="","Incomplete","Complete")</f>
        <v>Complete</v>
      </c>
    </row>
    <row r="3" spans="1:6" x14ac:dyDescent="0.3">
      <c r="A3" t="s">
        <v>15</v>
      </c>
      <c r="B3" t="s">
        <v>7</v>
      </c>
      <c r="C3">
        <v>9876501234</v>
      </c>
      <c r="D3" t="s">
        <v>8</v>
      </c>
      <c r="E3" t="s">
        <v>9</v>
      </c>
      <c r="F3" t="str">
        <f>IF(C3="","Incomplete","Complete")</f>
        <v>Complete</v>
      </c>
    </row>
    <row r="4" spans="1:6" x14ac:dyDescent="0.3">
      <c r="A4" t="s">
        <v>16</v>
      </c>
      <c r="B4" t="s">
        <v>10</v>
      </c>
      <c r="D4" t="s">
        <v>11</v>
      </c>
      <c r="E4" t="s">
        <v>9</v>
      </c>
      <c r="F4" t="str">
        <f>IF(C4="","Incomplete","Complete")</f>
        <v>Incomplete</v>
      </c>
    </row>
    <row r="5" spans="1:6" x14ac:dyDescent="0.3">
      <c r="A5" t="s">
        <v>17</v>
      </c>
      <c r="B5" t="s">
        <v>4</v>
      </c>
      <c r="C5">
        <v>9876543210</v>
      </c>
      <c r="D5" t="s">
        <v>5</v>
      </c>
      <c r="E5" t="s">
        <v>6</v>
      </c>
      <c r="F5" t="str">
        <f>IF(C5="","Incomplete","Complete")</f>
        <v>Complete</v>
      </c>
    </row>
    <row r="6" spans="1:6" x14ac:dyDescent="0.3">
      <c r="A6" t="s">
        <v>18</v>
      </c>
      <c r="B6" t="s">
        <v>24</v>
      </c>
      <c r="C6">
        <v>9123456780</v>
      </c>
      <c r="D6" t="s">
        <v>31</v>
      </c>
      <c r="E6" t="s">
        <v>6</v>
      </c>
      <c r="F6" t="str">
        <f>IF(C6="","Incomplete","Complete")</f>
        <v>Complete</v>
      </c>
    </row>
    <row r="7" spans="1:6" x14ac:dyDescent="0.3">
      <c r="A7" t="s">
        <v>19</v>
      </c>
      <c r="B7" t="s">
        <v>25</v>
      </c>
      <c r="C7">
        <v>9988776655</v>
      </c>
      <c r="D7" t="s">
        <v>5</v>
      </c>
      <c r="E7" t="s">
        <v>12</v>
      </c>
      <c r="F7" t="str">
        <f>IF(C7="","Incomplete","Complete")</f>
        <v>Complete</v>
      </c>
    </row>
    <row r="8" spans="1:6" x14ac:dyDescent="0.3">
      <c r="A8" t="s">
        <v>20</v>
      </c>
      <c r="B8" t="s">
        <v>26</v>
      </c>
      <c r="C8">
        <v>9876123450</v>
      </c>
      <c r="D8" t="s">
        <v>32</v>
      </c>
      <c r="E8" t="s">
        <v>9</v>
      </c>
      <c r="F8" t="str">
        <f>IF(C8="","Incomplete","Complete")</f>
        <v>Complete</v>
      </c>
    </row>
    <row r="9" spans="1:6" x14ac:dyDescent="0.3">
      <c r="A9" t="s">
        <v>21</v>
      </c>
      <c r="B9" t="s">
        <v>27</v>
      </c>
      <c r="D9" t="s">
        <v>11</v>
      </c>
      <c r="E9" t="s">
        <v>6</v>
      </c>
      <c r="F9" t="str">
        <f>IF(C9="","Incomplete","Complete")</f>
        <v>Incomplete</v>
      </c>
    </row>
    <row r="10" spans="1:6" x14ac:dyDescent="0.3">
      <c r="A10" t="s">
        <v>22</v>
      </c>
      <c r="B10" t="s">
        <v>28</v>
      </c>
      <c r="C10">
        <v>9123456789</v>
      </c>
      <c r="D10" t="s">
        <v>30</v>
      </c>
      <c r="E10" t="s">
        <v>6</v>
      </c>
      <c r="F10" t="str">
        <f>IF(C10="","Incomplete","Complete")</f>
        <v>Complete</v>
      </c>
    </row>
    <row r="11" spans="1:6" x14ac:dyDescent="0.3">
      <c r="A11" t="s">
        <v>23</v>
      </c>
      <c r="B11" t="s">
        <v>29</v>
      </c>
      <c r="C11">
        <v>9988776650</v>
      </c>
      <c r="D11" t="s">
        <v>8</v>
      </c>
      <c r="E11" t="s">
        <v>9</v>
      </c>
      <c r="F11" t="str">
        <f>IF(C11="","Incomplete","Complete")</f>
        <v>Complete</v>
      </c>
    </row>
  </sheetData>
  <sortState xmlns:xlrd2="http://schemas.microsoft.com/office/spreadsheetml/2017/richdata2" ref="A2:D3">
    <sortCondition ref="A2:A3"/>
  </sortState>
  <conditionalFormatting sqref="B1:B2">
    <cfRule type="duplicateValues" dxfId="7" priority="5"/>
    <cfRule type="duplicateValues" dxfId="6" priority="6"/>
    <cfRule type="duplicateValues" dxfId="5" priority="7"/>
    <cfRule type="duplicateValues" dxfId="4" priority="8"/>
  </conditionalFormatting>
  <conditionalFormatting sqref="B1:B11">
    <cfRule type="duplicateValues" dxfId="3" priority="3"/>
  </conditionalFormatting>
  <conditionalFormatting sqref="B2:C5 B6:B11">
    <cfRule type="duplicateValues" dxfId="2" priority="4"/>
  </conditionalFormatting>
  <conditionalFormatting sqref="C1:C11">
    <cfRule type="duplicateValues" dxfId="1" priority="2"/>
  </conditionalFormatting>
  <conditionalFormatting sqref="C2:C11">
    <cfRule type="duplicateValues" dxfId="0" priority="1"/>
  </conditionalFormatting>
  <dataValidations count="1">
    <dataValidation type="list" allowBlank="1" showInputMessage="1" showErrorMessage="1" sqref="D12:D100 E1:E11" xr:uid="{329B9DDB-3D5E-46F7-BECE-2DAA63F2A0A9}">
      <formula1>"Active,Pending,Inactive"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43540-EF35-4D8C-94B7-99A86E60C8E6}">
  <dimension ref="A1:P10"/>
  <sheetViews>
    <sheetView zoomScaleNormal="100" workbookViewId="0">
      <selection activeCell="M6" sqref="M6"/>
    </sheetView>
  </sheetViews>
  <sheetFormatPr defaultRowHeight="14.4" x14ac:dyDescent="0.3"/>
  <cols>
    <col min="1" max="1" width="20.88671875" customWidth="1"/>
  </cols>
  <sheetData>
    <row r="1" spans="1:16" x14ac:dyDescent="0.3">
      <c r="A1" s="5" t="s">
        <v>48</v>
      </c>
      <c r="B1" s="5"/>
      <c r="C1" s="5"/>
      <c r="D1" s="5"/>
      <c r="E1" s="5"/>
      <c r="F1" s="5"/>
      <c r="G1" s="5"/>
      <c r="H1" s="5"/>
      <c r="I1" s="2"/>
      <c r="J1" s="2"/>
      <c r="K1" s="2"/>
      <c r="L1" s="2"/>
      <c r="M1" s="2"/>
      <c r="N1" s="2"/>
      <c r="O1" s="2"/>
      <c r="P1" s="2"/>
    </row>
    <row r="2" spans="1:16" x14ac:dyDescent="0.3">
      <c r="A2" s="3" t="s">
        <v>33</v>
      </c>
      <c r="B2" s="3">
        <f>COUNTA('Customer Record'!A2:A11)</f>
        <v>10</v>
      </c>
    </row>
    <row r="3" spans="1:16" x14ac:dyDescent="0.3">
      <c r="A3" s="3" t="s">
        <v>34</v>
      </c>
      <c r="B3" s="3">
        <f>COUNTBLANK('Customer Record'!C2:C11)</f>
        <v>2</v>
      </c>
    </row>
    <row r="4" spans="1:16" x14ac:dyDescent="0.3">
      <c r="A4" s="3" t="s">
        <v>35</v>
      </c>
      <c r="B4" s="3">
        <f>COUNTIF('Customer Record'!E1:E11,"Pending")</f>
        <v>4</v>
      </c>
    </row>
    <row r="7" spans="1:16" x14ac:dyDescent="0.3">
      <c r="A7" s="4" t="s">
        <v>36</v>
      </c>
      <c r="B7" s="4" t="s">
        <v>37</v>
      </c>
    </row>
    <row r="8" spans="1:16" x14ac:dyDescent="0.3">
      <c r="A8" t="s">
        <v>6</v>
      </c>
      <c r="B8">
        <f>COUNTIF('Customer Record'!E1:E11,A8)</f>
        <v>5</v>
      </c>
    </row>
    <row r="9" spans="1:16" x14ac:dyDescent="0.3">
      <c r="A9" t="s">
        <v>9</v>
      </c>
      <c r="B9">
        <f>COUNTIF('Customer Record'!E2:E11,A9)</f>
        <v>4</v>
      </c>
    </row>
    <row r="10" spans="1:16" x14ac:dyDescent="0.3">
      <c r="A10" t="s">
        <v>12</v>
      </c>
      <c r="B10">
        <f>COUNTIF('Customer Record'!E2:E11,A10)</f>
        <v>1</v>
      </c>
    </row>
  </sheetData>
  <mergeCells count="2">
    <mergeCell ref="A1:H1"/>
    <mergeCell ref="I1:P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C9525-F93E-4BAB-A9A5-54C29DD50835}">
  <dimension ref="A1:C23"/>
  <sheetViews>
    <sheetView tabSelected="1" zoomScale="85" zoomScaleNormal="85" workbookViewId="0">
      <selection activeCell="E24" sqref="E24"/>
    </sheetView>
  </sheetViews>
  <sheetFormatPr defaultRowHeight="14.4" x14ac:dyDescent="0.3"/>
  <cols>
    <col min="1" max="1" width="19" customWidth="1"/>
    <col min="2" max="2" width="13.109375" customWidth="1"/>
  </cols>
  <sheetData>
    <row r="1" spans="1:3" x14ac:dyDescent="0.3">
      <c r="A1" s="9" t="s">
        <v>50</v>
      </c>
      <c r="B1" s="8"/>
      <c r="C1" s="8"/>
    </row>
    <row r="2" spans="1:3" x14ac:dyDescent="0.3">
      <c r="A2" s="1" t="s">
        <v>38</v>
      </c>
      <c r="B2" s="1" t="s">
        <v>39</v>
      </c>
      <c r="C2" s="1" t="s">
        <v>2</v>
      </c>
    </row>
    <row r="3" spans="1:3" x14ac:dyDescent="0.3">
      <c r="A3" t="s">
        <v>4</v>
      </c>
      <c r="B3">
        <v>5000</v>
      </c>
      <c r="C3" t="s">
        <v>5</v>
      </c>
    </row>
    <row r="4" spans="1:3" x14ac:dyDescent="0.3">
      <c r="A4" t="s">
        <v>40</v>
      </c>
      <c r="B4">
        <v>3000</v>
      </c>
      <c r="C4" t="s">
        <v>8</v>
      </c>
    </row>
    <row r="5" spans="1:3" x14ac:dyDescent="0.3">
      <c r="A5" t="s">
        <v>10</v>
      </c>
      <c r="B5">
        <v>2000</v>
      </c>
      <c r="C5" t="s">
        <v>5</v>
      </c>
    </row>
    <row r="6" spans="1:3" x14ac:dyDescent="0.3">
      <c r="A6" t="s">
        <v>41</v>
      </c>
      <c r="B6">
        <f>SUM(B3:B5)</f>
        <v>10000</v>
      </c>
    </row>
    <row r="7" spans="1:3" x14ac:dyDescent="0.3">
      <c r="A7" t="s">
        <v>42</v>
      </c>
      <c r="B7">
        <f>SUMIF(C3:C5,"Kochi",B3:B5)</f>
        <v>7000</v>
      </c>
    </row>
    <row r="9" spans="1:3" x14ac:dyDescent="0.3">
      <c r="A9" s="10" t="s">
        <v>49</v>
      </c>
      <c r="B9" s="6">
        <f>COUNTIF(C3:C5,"Kochi")</f>
        <v>2</v>
      </c>
    </row>
    <row r="10" spans="1:3" x14ac:dyDescent="0.3">
      <c r="A10" s="10" t="s">
        <v>43</v>
      </c>
      <c r="B10" s="7">
        <f>AVERAGE(B3:B5)</f>
        <v>3333.3333333333335</v>
      </c>
    </row>
    <row r="16" spans="1:3" x14ac:dyDescent="0.3">
      <c r="A16" s="10" t="s">
        <v>46</v>
      </c>
      <c r="B16">
        <f>MAX(B3:B5)</f>
        <v>5000</v>
      </c>
    </row>
    <row r="17" spans="1:2" x14ac:dyDescent="0.3">
      <c r="A17" s="10" t="s">
        <v>45</v>
      </c>
      <c r="B17">
        <f>MIN(B3:B5)</f>
        <v>2000</v>
      </c>
    </row>
    <row r="19" spans="1:2" x14ac:dyDescent="0.3">
      <c r="A19" s="10" t="s">
        <v>47</v>
      </c>
      <c r="B19" t="s">
        <v>18</v>
      </c>
    </row>
    <row r="20" spans="1:2" x14ac:dyDescent="0.3">
      <c r="A20" s="10" t="s">
        <v>0</v>
      </c>
      <c r="B20" t="str">
        <f>VLOOKUP(B19,'Customer Record'!A2:E11,2,FALSE)</f>
        <v>Sunrise Retail</v>
      </c>
    </row>
    <row r="22" spans="1:2" x14ac:dyDescent="0.3">
      <c r="A22" s="10" t="s">
        <v>47</v>
      </c>
      <c r="B22" t="s">
        <v>20</v>
      </c>
    </row>
    <row r="23" spans="1:2" x14ac:dyDescent="0.3">
      <c r="A23" s="10" t="s">
        <v>0</v>
      </c>
      <c r="B23" t="str">
        <f>_xlfn.XLOOKUP(B22,'Customer Record'!A2:A11,'Customer Record'!B2:B11,"Not Found")</f>
        <v>Fresh Basket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 Record</vt:lpstr>
      <vt:lpstr>Dashboard</vt:lpstr>
      <vt:lpstr>Formula 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SANIGA SUDHEER</dc:creator>
  <cp:lastModifiedBy>SANIGA SUDHEER</cp:lastModifiedBy>
  <dcterms:created xsi:type="dcterms:W3CDTF">2026-10-24T08:51:45Z</dcterms:created>
  <dcterms:modified xsi:type="dcterms:W3CDTF">2026-10-25T08:21:15Z</dcterms:modified>
</cp:coreProperties>
</file>